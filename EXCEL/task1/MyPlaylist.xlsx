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VI\Music\Downloads\"/>
    </mc:Choice>
  </mc:AlternateContent>
  <xr:revisionPtr revIDLastSave="0" documentId="13_ncr:1_{C3F45F3D-D97B-42F9-AFE7-5684D76A784D}" xr6:coauthVersionLast="47" xr6:coauthVersionMax="47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Task1_Ribbon_QAT" sheetId="1" r:id="rId1"/>
    <sheet name="Songs" sheetId="2" r:id="rId2"/>
    <sheet name="Artists" sheetId="3" r:id="rId3"/>
    <sheet name="GST_Calculator" sheetId="4" r:id="rId4"/>
    <sheet name="Dataset_Cleanup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2" i="4"/>
  <c r="C3" i="4"/>
  <c r="E3" i="4" s="1"/>
  <c r="C4" i="4"/>
  <c r="C5" i="4"/>
  <c r="C6" i="4"/>
  <c r="E6" i="4" s="1"/>
  <c r="C2" i="4"/>
  <c r="E2" i="4" s="1"/>
  <c r="E20" i="5"/>
  <c r="D20" i="5"/>
  <c r="F20" i="5" s="1"/>
  <c r="C20" i="5"/>
  <c r="B20" i="5"/>
  <c r="A20" i="5"/>
  <c r="E19" i="5"/>
  <c r="D19" i="5"/>
  <c r="F19" i="5" s="1"/>
  <c r="C19" i="5"/>
  <c r="B19" i="5"/>
  <c r="A19" i="5"/>
  <c r="E18" i="5"/>
  <c r="D18" i="5"/>
  <c r="C18" i="5"/>
  <c r="B18" i="5"/>
  <c r="A18" i="5"/>
  <c r="E17" i="5"/>
  <c r="D17" i="5"/>
  <c r="C17" i="5"/>
  <c r="B17" i="5"/>
  <c r="A17" i="5"/>
  <c r="E16" i="5"/>
  <c r="D16" i="5"/>
  <c r="C16" i="5"/>
  <c r="B16" i="5"/>
  <c r="A16" i="5"/>
  <c r="F15" i="5"/>
  <c r="E15" i="5"/>
  <c r="D15" i="5"/>
  <c r="C15" i="5"/>
  <c r="B15" i="5"/>
  <c r="A15" i="5"/>
  <c r="E5" i="4"/>
  <c r="E4" i="4"/>
  <c r="E10" i="3"/>
  <c r="B11" i="2"/>
  <c r="B10" i="2"/>
  <c r="F16" i="5" l="1"/>
  <c r="F21" i="5" s="1"/>
  <c r="F18" i="5"/>
  <c r="F17" i="5"/>
</calcChain>
</file>

<file path=xl/sharedStrings.xml><?xml version="1.0" encoding="utf-8"?>
<sst xmlns="http://schemas.openxmlformats.org/spreadsheetml/2006/main" count="135" uniqueCount="115">
  <si>
    <t>Task 1: Exploring the Excel Ribbon and Quick Access Toolbar</t>
  </si>
  <si>
    <t>Ribbon Tab</t>
  </si>
  <si>
    <t>Purpose / What it contains</t>
  </si>
  <si>
    <t>Home</t>
  </si>
  <si>
    <t>The default tab. Holds the most-used everyday commands: clipboard (cut/copy/paste), font formatting (bold, italic, colour, size), alignment, number formatting, cell styles, and the Insert/Delete/Format cell commands plus AutoSum and Find &amp; Select.</t>
  </si>
  <si>
    <t>Insert</t>
  </si>
  <si>
    <t>Used to add objects into a sheet: tables, PivotTables, charts (column, line, pie, etc.), illustrations (pictures, icons, shapes, SmartArt), sparklines, hyperlinks, text boxes, headers/footers, and symbols.</t>
  </si>
  <si>
    <t>Page Layout</t>
  </si>
  <si>
    <t>Controls how the worksheet looks when printed or viewed as a page: margins, orientation, page size, print area, themes, and options for gridlines/headings visibility and scaling to fit a page.</t>
  </si>
  <si>
    <t>Formulas</t>
  </si>
  <si>
    <t>Everything related to calculations: the Function Library (Financial, Logical, Text, Date &amp; Time, Lookup &amp; Reference, Math &amp; Trig), Defined Names, Formula Auditing (trace precedents/dependents, show formulas), and Calculation Options (including the workbook calculation mode).</t>
  </si>
  <si>
    <t>Data</t>
  </si>
  <si>
    <t>Tools for working with external and large data: Get &amp; Transform (import data from text/CSV, web, other workbooks), Sort &amp; Filter, Data Validation, Text to Columns, Remove Duplicates, Consolidate, What-If Analysis, and Outline (group/ungroup).</t>
  </si>
  <si>
    <t>Review</t>
  </si>
  <si>
    <t>Proofing and collaboration tools: Spelling, Thesaurus, adding Comments/Notes, Track Changes, Protect Sheet/Workbook, and Compare.</t>
  </si>
  <si>
    <t>View</t>
  </si>
  <si>
    <t>Changes how the workbook is displayed: Normal/Page Break/Page Layout views, Gridlines and Headings visibility, Zoom, Freeze Panes, and arranging/splitting windows.</t>
  </si>
  <si>
    <t>Quick Access Toolbar (QAT) tool</t>
  </si>
  <si>
    <t>Purpose</t>
  </si>
  <si>
    <t>Save</t>
  </si>
  <si>
    <t>Saves the current workbook to disk (or to OneDrive/SharePoint) with a single click, without opening the Save/Save As dialog if the file already has a name and location.</t>
  </si>
  <si>
    <t>Undo / Redo</t>
  </si>
  <si>
    <t>Undo reverses the last action(s) taken in the workbook; Redo re-applies an action that was just undone. Both keep a short history so multiple steps can be stepped back through.</t>
  </si>
  <si>
    <t>AutoSave toggle (Microsoft 365)</t>
  </si>
  <si>
    <t>Turns continuous automatic saving to the cloud on or off for the open file, useful for collaborative editing.</t>
  </si>
  <si>
    <t>Songs</t>
  </si>
  <si>
    <t>Song Title</t>
  </si>
  <si>
    <t>Duration (min)</t>
  </si>
  <si>
    <t>Artist</t>
  </si>
  <si>
    <t>Release Date</t>
  </si>
  <si>
    <t>Genre</t>
  </si>
  <si>
    <t>Plays (millions)</t>
  </si>
  <si>
    <t>Blinding Lights</t>
  </si>
  <si>
    <t>The Weeknd</t>
  </si>
  <si>
    <t>Synth-pop</t>
  </si>
  <si>
    <t>Shape of You</t>
  </si>
  <si>
    <t>Ed Sheeran</t>
  </si>
  <si>
    <t>Pop</t>
  </si>
  <si>
    <t>Bohemian Rhapsody</t>
  </si>
  <si>
    <t>Queen</t>
  </si>
  <si>
    <t>Rock</t>
  </si>
  <si>
    <t>Levitating</t>
  </si>
  <si>
    <t>Dua Lipa</t>
  </si>
  <si>
    <t>Disco-pop</t>
  </si>
  <si>
    <t>Someone Like You</t>
  </si>
  <si>
    <t>Adele</t>
  </si>
  <si>
    <t>Soul</t>
  </si>
  <si>
    <t>Uptown Funk</t>
  </si>
  <si>
    <t>Bruno Mars</t>
  </si>
  <si>
    <t>Funk</t>
  </si>
  <si>
    <t>TOTAL — A1-style formula</t>
  </si>
  <si>
    <t>TOTAL — R1C1-equivalent formula (same result)</t>
  </si>
  <si>
    <t>Artists</t>
  </si>
  <si>
    <t>Artist Name</t>
  </si>
  <si>
    <t>Country</t>
  </si>
  <si>
    <t>Debut Date</t>
  </si>
  <si>
    <t>Monthly Listeners (millions)</t>
  </si>
  <si>
    <t>Canada</t>
  </si>
  <si>
    <t>United Kingdom</t>
  </si>
  <si>
    <t>United States</t>
  </si>
  <si>
    <t>Average Monthly Listeners (millions)</t>
  </si>
  <si>
    <t>Item Price</t>
  </si>
  <si>
    <t>GST using $B$1 (Absolute)</t>
  </si>
  <si>
    <t>GST using B1 (Relative)</t>
  </si>
  <si>
    <t>Total using $B$1</t>
  </si>
  <si>
    <t>Item (for reference)</t>
  </si>
  <si>
    <t>GST Calculator</t>
  </si>
  <si>
    <t>Wireless Earbuds</t>
  </si>
  <si>
    <t>Absolute ($B$1) vs Relative (B1) references</t>
  </si>
  <si>
    <t>Bluetooth Speaker</t>
  </si>
  <si>
    <t>Laptop Bag</t>
  </si>
  <si>
    <t>Smart Watch</t>
  </si>
  <si>
    <t>USB-C Cable</t>
  </si>
  <si>
    <t>Task 5: Fixing Incorrect Data Types in an Order-History Export</t>
  </si>
  <si>
    <t>RAW DATA (as exported — 3 columns have the wrong data type)</t>
  </si>
  <si>
    <t>Order ID</t>
  </si>
  <si>
    <t>Order Date (TEXT)</t>
  </si>
  <si>
    <t>Product</t>
  </si>
  <si>
    <t>Price (TEXT)</t>
  </si>
  <si>
    <t>Qty (TEXT)</t>
  </si>
  <si>
    <t>ORD-1001</t>
  </si>
  <si>
    <t>15-Mar-2024</t>
  </si>
  <si>
    <t>Wireless Mouse</t>
  </si>
  <si>
    <t>₹799.00</t>
  </si>
  <si>
    <t>2</t>
  </si>
  <si>
    <t>ORD-1002</t>
  </si>
  <si>
    <t>02-Apr-2024</t>
  </si>
  <si>
    <t>Office Chair</t>
  </si>
  <si>
    <t>₹6,499.00</t>
  </si>
  <si>
    <t>1</t>
  </si>
  <si>
    <t>ORD-1003</t>
  </si>
  <si>
    <t>18-Apr-2024</t>
  </si>
  <si>
    <t>Notebook Set</t>
  </si>
  <si>
    <t>₹249.00</t>
  </si>
  <si>
    <t>5</t>
  </si>
  <si>
    <t>ORD-1004</t>
  </si>
  <si>
    <t>30-May-2024</t>
  </si>
  <si>
    <t>LED Desk Lamp</t>
  </si>
  <si>
    <t>₹1,099.00</t>
  </si>
  <si>
    <t>ORD-1005</t>
  </si>
  <si>
    <t>09-Jun-2024</t>
  </si>
  <si>
    <t>Phone Stand</t>
  </si>
  <si>
    <t>₹349.00</t>
  </si>
  <si>
    <t>3</t>
  </si>
  <si>
    <t>ORD-1006</t>
  </si>
  <si>
    <t>21-Jul-2024</t>
  </si>
  <si>
    <t>Bluetooth Mouse</t>
  </si>
  <si>
    <t>₹899.00</t>
  </si>
  <si>
    <t>CORRECTED DATA (real Date, Currency Number, and Whole-Number types)</t>
  </si>
  <si>
    <t>Order Date (DATE)</t>
  </si>
  <si>
    <t>Price (NUMBER)</t>
  </si>
  <si>
    <t>Qty (NUMBER)</t>
  </si>
  <si>
    <t>Line Total</t>
  </si>
  <si>
    <t>Grand Total:</t>
  </si>
  <si>
    <t>GST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</si>
</sst>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b/>
      <sz val="10.5"/>
      <name val="Arial"/>
      <charset val="1"/>
    </font>
    <font>
      <sz val="10.5"/>
      <name val="Arial"/>
      <charset val="1"/>
    </font>
    <font>
      <b/>
      <sz val="11"/>
      <name val="Arial"/>
      <charset val="1"/>
    </font>
    <font>
      <b/>
      <sz val="11"/>
      <color rgb="FF1F4E78"/>
      <name val="Arial"/>
      <charset val="1"/>
    </font>
    <font>
      <b/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theme="3"/>
        <bgColor rgb="FFFCE4E4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/>
    <xf numFmtId="0" fontId="1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/>
    <xf numFmtId="2" fontId="4" fillId="0" borderId="1" xfId="0" applyNumberFormat="1" applyFont="1" applyBorder="1"/>
    <xf numFmtId="164" fontId="4" fillId="0" borderId="1" xfId="0" applyNumberFormat="1" applyFont="1" applyBorder="1"/>
    <xf numFmtId="0" fontId="5" fillId="0" borderId="0" xfId="0" applyFont="1"/>
    <xf numFmtId="2" fontId="4" fillId="3" borderId="1" xfId="0" applyNumberFormat="1" applyFont="1" applyFill="1" applyBorder="1"/>
    <xf numFmtId="165" fontId="4" fillId="0" borderId="1" xfId="0" applyNumberFormat="1" applyFont="1" applyBorder="1"/>
    <xf numFmtId="165" fontId="4" fillId="3" borderId="1" xfId="0" applyNumberFormat="1" applyFont="1" applyFill="1" applyBorder="1"/>
    <xf numFmtId="3" fontId="4" fillId="4" borderId="1" xfId="0" applyNumberFormat="1" applyFont="1" applyFill="1" applyBorder="1"/>
    <xf numFmtId="4" fontId="4" fillId="3" borderId="1" xfId="0" applyNumberFormat="1" applyFont="1" applyFill="1" applyBorder="1"/>
    <xf numFmtId="4" fontId="4" fillId="0" borderId="1" xfId="0" applyNumberFormat="1" applyFont="1" applyBorder="1"/>
    <xf numFmtId="0" fontId="6" fillId="0" borderId="0" xfId="0" applyFont="1"/>
    <xf numFmtId="0" fontId="4" fillId="5" borderId="1" xfId="0" applyFont="1" applyFill="1" applyBorder="1"/>
    <xf numFmtId="164" fontId="4" fillId="3" borderId="1" xfId="0" applyNumberFormat="1" applyFont="1" applyFill="1" applyBorder="1"/>
    <xf numFmtId="1" fontId="4" fillId="3" borderId="1" xfId="0" applyNumberFormat="1" applyFont="1" applyFill="1" applyBorder="1"/>
    <xf numFmtId="4" fontId="5" fillId="3" borderId="1" xfId="0" applyNumberFormat="1" applyFont="1" applyFill="1" applyBorder="1"/>
    <xf numFmtId="0" fontId="1" fillId="0" borderId="2" xfId="0" applyFont="1" applyBorder="1" applyAlignment="1">
      <alignment horizontal="center"/>
    </xf>
    <xf numFmtId="9" fontId="7" fillId="6" borderId="1" xfId="0" applyNumberFormat="1" applyFont="1" applyFill="1" applyBorder="1" applyAlignment="1">
      <alignment vertical="center"/>
    </xf>
    <xf numFmtId="9" fontId="5" fillId="4" borderId="3" xfId="0" applyNumberFormat="1" applyFont="1" applyFill="1" applyBorder="1" applyAlignment="1">
      <alignment horizontal="center" vertical="center"/>
    </xf>
    <xf numFmtId="9" fontId="5" fillId="4" borderId="4" xfId="0" applyNumberFormat="1" applyFont="1" applyFill="1" applyBorder="1" applyAlignment="1">
      <alignment horizontal="center" vertical="center"/>
    </xf>
    <xf numFmtId="9" fontId="5" fillId="4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Normal="100" workbookViewId="0">
      <selection activeCell="B20" sqref="B20"/>
    </sheetView>
  </sheetViews>
  <sheetFormatPr defaultColWidth="8.7109375" defaultRowHeight="15" x14ac:dyDescent="0.25"/>
  <cols>
    <col min="1" max="1" width="34" bestFit="1" customWidth="1"/>
    <col min="2" max="2" width="95" customWidth="1"/>
  </cols>
  <sheetData>
    <row r="1" spans="1:4" ht="18" x14ac:dyDescent="0.25">
      <c r="A1" s="2" t="s">
        <v>0</v>
      </c>
      <c r="B1" s="2"/>
      <c r="C1" s="2"/>
      <c r="D1" s="2"/>
    </row>
    <row r="3" spans="1:4" x14ac:dyDescent="0.25">
      <c r="A3" s="4" t="s">
        <v>1</v>
      </c>
      <c r="B3" s="4" t="s">
        <v>2</v>
      </c>
    </row>
    <row r="4" spans="1:4" ht="45.75" customHeight="1" x14ac:dyDescent="0.25">
      <c r="A4" s="5" t="s">
        <v>3</v>
      </c>
      <c r="B4" s="6" t="s">
        <v>4</v>
      </c>
    </row>
    <row r="5" spans="1:4" ht="45.75" customHeight="1" x14ac:dyDescent="0.25">
      <c r="A5" s="5" t="s">
        <v>5</v>
      </c>
      <c r="B5" s="6" t="s">
        <v>6</v>
      </c>
    </row>
    <row r="6" spans="1:4" ht="45.75" customHeight="1" x14ac:dyDescent="0.25">
      <c r="A6" s="5" t="s">
        <v>7</v>
      </c>
      <c r="B6" s="6" t="s">
        <v>8</v>
      </c>
    </row>
    <row r="7" spans="1:4" ht="45.75" customHeight="1" x14ac:dyDescent="0.25">
      <c r="A7" s="5" t="s">
        <v>9</v>
      </c>
      <c r="B7" s="6" t="s">
        <v>10</v>
      </c>
    </row>
    <row r="8" spans="1:4" ht="45.75" customHeight="1" x14ac:dyDescent="0.25">
      <c r="A8" s="5" t="s">
        <v>11</v>
      </c>
      <c r="B8" s="6" t="s">
        <v>12</v>
      </c>
    </row>
    <row r="9" spans="1:4" ht="45.75" customHeight="1" x14ac:dyDescent="0.25">
      <c r="A9" s="5" t="s">
        <v>13</v>
      </c>
      <c r="B9" s="6" t="s">
        <v>14</v>
      </c>
    </row>
    <row r="10" spans="1:4" ht="45.75" customHeight="1" x14ac:dyDescent="0.25">
      <c r="A10" s="5" t="s">
        <v>15</v>
      </c>
      <c r="B10" s="6" t="s">
        <v>16</v>
      </c>
    </row>
    <row r="12" spans="1:4" ht="30" x14ac:dyDescent="0.25">
      <c r="A12" s="4" t="s">
        <v>17</v>
      </c>
      <c r="B12" s="4" t="s">
        <v>18</v>
      </c>
    </row>
    <row r="13" spans="1:4" ht="39.75" customHeight="1" x14ac:dyDescent="0.25">
      <c r="A13" s="5" t="s">
        <v>19</v>
      </c>
      <c r="B13" s="6" t="s">
        <v>20</v>
      </c>
    </row>
    <row r="14" spans="1:4" ht="39.75" customHeight="1" x14ac:dyDescent="0.25">
      <c r="A14" s="5" t="s">
        <v>21</v>
      </c>
      <c r="B14" s="6" t="s">
        <v>22</v>
      </c>
    </row>
    <row r="15" spans="1:4" ht="27" x14ac:dyDescent="0.25">
      <c r="A15" s="5" t="s">
        <v>23</v>
      </c>
      <c r="B15" s="6" t="s">
        <v>24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zoomScaleNormal="100" workbookViewId="0">
      <selection activeCell="B10" sqref="B10"/>
    </sheetView>
  </sheetViews>
  <sheetFormatPr defaultColWidth="8.7109375" defaultRowHeight="15" x14ac:dyDescent="0.25"/>
  <cols>
    <col min="1" max="1" width="51.5703125" bestFit="1" customWidth="1"/>
    <col min="2" max="2" width="9.7109375" bestFit="1" customWidth="1"/>
    <col min="3" max="3" width="12.5703125" bestFit="1" customWidth="1"/>
    <col min="4" max="4" width="14.7109375" bestFit="1" customWidth="1"/>
    <col min="5" max="5" width="10.28515625" bestFit="1" customWidth="1"/>
    <col min="6" max="6" width="10.140625" bestFit="1" customWidth="1"/>
  </cols>
  <sheetData>
    <row r="1" spans="1:6" ht="18" x14ac:dyDescent="0.25">
      <c r="A1" s="22" t="s">
        <v>25</v>
      </c>
      <c r="B1" s="22"/>
      <c r="C1" s="22"/>
      <c r="D1" s="22"/>
      <c r="E1" s="22"/>
      <c r="F1" s="22"/>
    </row>
    <row r="2" spans="1:6" ht="30" x14ac:dyDescent="0.25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</row>
    <row r="3" spans="1:6" ht="15.75" customHeight="1" x14ac:dyDescent="0.25">
      <c r="A3" s="7" t="s">
        <v>32</v>
      </c>
      <c r="B3" s="8">
        <v>3.32</v>
      </c>
      <c r="C3" s="7" t="s">
        <v>33</v>
      </c>
      <c r="D3" s="9">
        <v>43910</v>
      </c>
      <c r="E3" s="7" t="s">
        <v>34</v>
      </c>
      <c r="F3" s="7">
        <v>4200</v>
      </c>
    </row>
    <row r="4" spans="1:6" ht="15.75" customHeight="1" x14ac:dyDescent="0.25">
      <c r="A4" s="7" t="s">
        <v>35</v>
      </c>
      <c r="B4" s="8">
        <v>3.89</v>
      </c>
      <c r="C4" s="7" t="s">
        <v>36</v>
      </c>
      <c r="D4" s="9">
        <v>42741</v>
      </c>
      <c r="E4" s="7" t="s">
        <v>37</v>
      </c>
      <c r="F4" s="7">
        <v>3900</v>
      </c>
    </row>
    <row r="5" spans="1:6" ht="15.75" customHeight="1" x14ac:dyDescent="0.25">
      <c r="A5" s="7" t="s">
        <v>38</v>
      </c>
      <c r="B5" s="8">
        <v>5.91</v>
      </c>
      <c r="C5" s="7" t="s">
        <v>39</v>
      </c>
      <c r="D5" s="9">
        <v>27698</v>
      </c>
      <c r="E5" s="7" t="s">
        <v>40</v>
      </c>
      <c r="F5" s="7">
        <v>2100</v>
      </c>
    </row>
    <row r="6" spans="1:6" ht="15.75" customHeight="1" x14ac:dyDescent="0.25">
      <c r="A6" s="7" t="s">
        <v>41</v>
      </c>
      <c r="B6" s="8">
        <v>3.4</v>
      </c>
      <c r="C6" s="7" t="s">
        <v>42</v>
      </c>
      <c r="D6" s="9">
        <v>44105</v>
      </c>
      <c r="E6" s="7" t="s">
        <v>43</v>
      </c>
      <c r="F6" s="7">
        <v>1800</v>
      </c>
    </row>
    <row r="7" spans="1:6" ht="15.75" customHeight="1" x14ac:dyDescent="0.25">
      <c r="A7" s="7" t="s">
        <v>44</v>
      </c>
      <c r="B7" s="8">
        <v>4.82</v>
      </c>
      <c r="C7" s="7" t="s">
        <v>45</v>
      </c>
      <c r="D7" s="9">
        <v>40567</v>
      </c>
      <c r="E7" s="7" t="s">
        <v>46</v>
      </c>
      <c r="F7" s="7">
        <v>1600</v>
      </c>
    </row>
    <row r="8" spans="1:6" ht="15.75" customHeight="1" x14ac:dyDescent="0.25">
      <c r="A8" s="7" t="s">
        <v>47</v>
      </c>
      <c r="B8" s="8">
        <v>4.3</v>
      </c>
      <c r="C8" s="7" t="s">
        <v>48</v>
      </c>
      <c r="D8" s="9">
        <v>41953</v>
      </c>
      <c r="E8" s="7" t="s">
        <v>49</v>
      </c>
      <c r="F8" s="7">
        <v>2400</v>
      </c>
    </row>
    <row r="10" spans="1:6" x14ac:dyDescent="0.25">
      <c r="A10" s="10" t="s">
        <v>50</v>
      </c>
      <c r="B10" s="11">
        <f>SUM(B3:B8)</f>
        <v>25.64</v>
      </c>
    </row>
    <row r="11" spans="1:6" x14ac:dyDescent="0.25">
      <c r="A11" s="10" t="s">
        <v>51</v>
      </c>
      <c r="B11" s="11">
        <f>SUM(B3:B8)</f>
        <v>25.64</v>
      </c>
    </row>
    <row r="13" spans="1:6" ht="27.75" customHeight="1" x14ac:dyDescent="0.25"/>
    <row r="14" spans="1:6" ht="27.75" customHeight="1" x14ac:dyDescent="0.25"/>
    <row r="15" spans="1:6" ht="27.75" customHeight="1" x14ac:dyDescent="0.25"/>
    <row r="16" spans="1:6" ht="27.75" customHeight="1" x14ac:dyDescent="0.25"/>
    <row r="17" ht="27.75" customHeight="1" x14ac:dyDescent="0.25"/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zoomScaleNormal="100" workbookViewId="0">
      <selection sqref="A1:E1"/>
    </sheetView>
  </sheetViews>
  <sheetFormatPr defaultColWidth="8.7109375" defaultRowHeight="15" x14ac:dyDescent="0.25"/>
  <cols>
    <col min="1" max="1" width="38.85546875" bestFit="1" customWidth="1"/>
    <col min="2" max="2" width="10.28515625" bestFit="1" customWidth="1"/>
    <col min="3" max="3" width="15.28515625" bestFit="1" customWidth="1"/>
    <col min="4" max="4" width="12.85546875" bestFit="1" customWidth="1"/>
    <col min="5" max="5" width="19.42578125" bestFit="1" customWidth="1"/>
  </cols>
  <sheetData>
    <row r="1" spans="1:5" ht="18" x14ac:dyDescent="0.25">
      <c r="A1" s="22" t="s">
        <v>52</v>
      </c>
      <c r="B1" s="22"/>
      <c r="C1" s="22"/>
      <c r="D1" s="22"/>
      <c r="E1" s="22"/>
    </row>
    <row r="2" spans="1:5" ht="30" x14ac:dyDescent="0.25">
      <c r="A2" s="4" t="s">
        <v>53</v>
      </c>
      <c r="B2" s="4" t="s">
        <v>30</v>
      </c>
      <c r="C2" s="4" t="s">
        <v>54</v>
      </c>
      <c r="D2" s="4" t="s">
        <v>55</v>
      </c>
      <c r="E2" s="4" t="s">
        <v>56</v>
      </c>
    </row>
    <row r="3" spans="1:5" ht="15.75" customHeight="1" x14ac:dyDescent="0.25">
      <c r="A3" s="7" t="s">
        <v>33</v>
      </c>
      <c r="B3" s="7" t="s">
        <v>34</v>
      </c>
      <c r="C3" s="7" t="s">
        <v>57</v>
      </c>
      <c r="D3" s="9">
        <v>40179</v>
      </c>
      <c r="E3" s="12">
        <v>108.5</v>
      </c>
    </row>
    <row r="4" spans="1:5" ht="15.75" customHeight="1" x14ac:dyDescent="0.25">
      <c r="A4" s="7" t="s">
        <v>36</v>
      </c>
      <c r="B4" s="7" t="s">
        <v>37</v>
      </c>
      <c r="C4" s="7" t="s">
        <v>58</v>
      </c>
      <c r="D4" s="9">
        <v>40552</v>
      </c>
      <c r="E4" s="12">
        <v>95.2</v>
      </c>
    </row>
    <row r="5" spans="1:5" ht="15.75" customHeight="1" x14ac:dyDescent="0.25">
      <c r="A5" s="7" t="s">
        <v>39</v>
      </c>
      <c r="B5" s="7" t="s">
        <v>40</v>
      </c>
      <c r="C5" s="7" t="s">
        <v>58</v>
      </c>
      <c r="D5" s="9">
        <v>25750</v>
      </c>
      <c r="E5" s="12">
        <v>45</v>
      </c>
    </row>
    <row r="6" spans="1:5" ht="15.75" customHeight="1" x14ac:dyDescent="0.25">
      <c r="A6" s="7" t="s">
        <v>42</v>
      </c>
      <c r="B6" s="7" t="s">
        <v>37</v>
      </c>
      <c r="C6" s="7" t="s">
        <v>58</v>
      </c>
      <c r="D6" s="9">
        <v>42244</v>
      </c>
      <c r="E6" s="12">
        <v>88.3</v>
      </c>
    </row>
    <row r="7" spans="1:5" ht="15.75" customHeight="1" x14ac:dyDescent="0.25">
      <c r="A7" s="7" t="s">
        <v>45</v>
      </c>
      <c r="B7" s="7" t="s">
        <v>46</v>
      </c>
      <c r="C7" s="7" t="s">
        <v>58</v>
      </c>
      <c r="D7" s="9">
        <v>39475</v>
      </c>
      <c r="E7" s="12">
        <v>70.099999999999994</v>
      </c>
    </row>
    <row r="8" spans="1:5" ht="15.75" customHeight="1" x14ac:dyDescent="0.25">
      <c r="A8" s="7" t="s">
        <v>48</v>
      </c>
      <c r="B8" s="7" t="s">
        <v>49</v>
      </c>
      <c r="C8" s="7" t="s">
        <v>59</v>
      </c>
      <c r="D8" s="9">
        <v>40456</v>
      </c>
      <c r="E8" s="12">
        <v>60.4</v>
      </c>
    </row>
    <row r="10" spans="1:5" x14ac:dyDescent="0.25">
      <c r="A10" s="10" t="s">
        <v>60</v>
      </c>
      <c r="E10" s="13">
        <f>AVERAGE(E3:E8)</f>
        <v>77.916666666666671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zoomScaleNormal="100" workbookViewId="0">
      <selection activeCell="G15" sqref="G15"/>
    </sheetView>
  </sheetViews>
  <sheetFormatPr defaultColWidth="8.7109375" defaultRowHeight="15" x14ac:dyDescent="0.25"/>
  <cols>
    <col min="1" max="1" width="11.140625" bestFit="1" customWidth="1"/>
    <col min="2" max="2" width="8" bestFit="1" customWidth="1"/>
    <col min="3" max="3" width="17.5703125" bestFit="1" customWidth="1"/>
    <col min="4" max="4" width="15.140625" bestFit="1" customWidth="1"/>
    <col min="5" max="5" width="12.28515625" bestFit="1" customWidth="1"/>
    <col min="6" max="6" width="18" bestFit="1" customWidth="1"/>
    <col min="7" max="7" width="46.5703125" bestFit="1" customWidth="1"/>
  </cols>
  <sheetData>
    <row r="1" spans="1:7" ht="30" x14ac:dyDescent="0.25">
      <c r="A1" s="4" t="s">
        <v>61</v>
      </c>
      <c r="B1" s="23" t="s">
        <v>114</v>
      </c>
      <c r="C1" s="4" t="s">
        <v>62</v>
      </c>
      <c r="D1" s="4" t="s">
        <v>63</v>
      </c>
      <c r="E1" s="4" t="s">
        <v>64</v>
      </c>
      <c r="F1" s="4" t="s">
        <v>65</v>
      </c>
      <c r="G1" s="3" t="s">
        <v>66</v>
      </c>
    </row>
    <row r="2" spans="1:7" x14ac:dyDescent="0.25">
      <c r="A2" s="14">
        <v>2499</v>
      </c>
      <c r="B2" s="24">
        <v>0.18</v>
      </c>
      <c r="C2" s="15">
        <f>A2*$B$2</f>
        <v>449.82</v>
      </c>
      <c r="D2" s="16">
        <f>A2*B2</f>
        <v>449.82</v>
      </c>
      <c r="E2" s="15">
        <f>A2+C2</f>
        <v>2948.82</v>
      </c>
      <c r="F2" s="7" t="s">
        <v>67</v>
      </c>
      <c r="G2" s="17" t="s">
        <v>68</v>
      </c>
    </row>
    <row r="3" spans="1:7" x14ac:dyDescent="0.25">
      <c r="A3" s="14">
        <v>1899</v>
      </c>
      <c r="B3" s="25"/>
      <c r="C3" s="15">
        <f t="shared" ref="C3:C6" si="0">A3*$B$2</f>
        <v>341.82</v>
      </c>
      <c r="D3" s="16">
        <f t="shared" ref="D3:D6" si="1">A3*B3</f>
        <v>0</v>
      </c>
      <c r="E3" s="15">
        <f>A3+C3</f>
        <v>2240.8200000000002</v>
      </c>
      <c r="F3" s="7" t="s">
        <v>69</v>
      </c>
    </row>
    <row r="4" spans="1:7" x14ac:dyDescent="0.25">
      <c r="A4" s="14">
        <v>999</v>
      </c>
      <c r="B4" s="25"/>
      <c r="C4" s="15">
        <f t="shared" si="0"/>
        <v>179.82</v>
      </c>
      <c r="D4" s="16">
        <f t="shared" si="1"/>
        <v>0</v>
      </c>
      <c r="E4" s="15">
        <f>A4+C4</f>
        <v>1178.82</v>
      </c>
      <c r="F4" s="7" t="s">
        <v>70</v>
      </c>
    </row>
    <row r="5" spans="1:7" x14ac:dyDescent="0.25">
      <c r="A5" s="14">
        <v>4999</v>
      </c>
      <c r="B5" s="25"/>
      <c r="C5" s="15">
        <f t="shared" si="0"/>
        <v>899.81999999999994</v>
      </c>
      <c r="D5" s="16">
        <f t="shared" si="1"/>
        <v>0</v>
      </c>
      <c r="E5" s="15">
        <f>A5+C5</f>
        <v>5898.82</v>
      </c>
      <c r="F5" s="7" t="s">
        <v>71</v>
      </c>
    </row>
    <row r="6" spans="1:7" x14ac:dyDescent="0.25">
      <c r="A6" s="14">
        <v>299</v>
      </c>
      <c r="B6" s="26"/>
      <c r="C6" s="15">
        <f t="shared" si="0"/>
        <v>53.82</v>
      </c>
      <c r="D6" s="16">
        <f t="shared" si="1"/>
        <v>0</v>
      </c>
      <c r="E6" s="15">
        <f>A6+C6</f>
        <v>352.82</v>
      </c>
      <c r="F6" s="7" t="s">
        <v>72</v>
      </c>
    </row>
    <row r="8" spans="1:7" ht="30" customHeight="1" x14ac:dyDescent="0.25"/>
    <row r="9" spans="1:7" ht="30" customHeight="1" x14ac:dyDescent="0.25"/>
    <row r="10" spans="1:7" ht="30" customHeight="1" x14ac:dyDescent="0.25"/>
    <row r="11" spans="1:7" ht="30" customHeight="1" x14ac:dyDescent="0.25"/>
  </sheetData>
  <mergeCells count="1">
    <mergeCell ref="B2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tabSelected="1" zoomScaleNormal="100" workbookViewId="0">
      <selection activeCell="N24" sqref="N24"/>
    </sheetView>
  </sheetViews>
  <sheetFormatPr defaultColWidth="8.7109375" defaultRowHeight="15" x14ac:dyDescent="0.25"/>
  <cols>
    <col min="1" max="1" width="10.7109375" bestFit="1" customWidth="1"/>
    <col min="2" max="2" width="13.140625" bestFit="1" customWidth="1"/>
    <col min="3" max="3" width="16.28515625" bestFit="1" customWidth="1"/>
    <col min="4" max="4" width="12" bestFit="1" customWidth="1"/>
    <col min="5" max="5" width="13.7109375" bestFit="1" customWidth="1"/>
    <col min="6" max="6" width="11.140625" bestFit="1" customWidth="1"/>
  </cols>
  <sheetData>
    <row r="1" spans="1:6" ht="18" x14ac:dyDescent="0.25">
      <c r="A1" s="2" t="s">
        <v>73</v>
      </c>
      <c r="B1" s="2"/>
      <c r="C1" s="2"/>
      <c r="D1" s="2"/>
      <c r="E1" s="2"/>
      <c r="F1" s="2"/>
    </row>
    <row r="4" spans="1:6" x14ac:dyDescent="0.25">
      <c r="A4" s="1" t="s">
        <v>74</v>
      </c>
      <c r="B4" s="1"/>
      <c r="C4" s="1"/>
      <c r="D4" s="1"/>
      <c r="E4" s="1"/>
      <c r="F4" s="1"/>
    </row>
    <row r="5" spans="1:6" ht="30" x14ac:dyDescent="0.25">
      <c r="A5" s="4" t="s">
        <v>75</v>
      </c>
      <c r="B5" s="4" t="s">
        <v>76</v>
      </c>
      <c r="C5" s="4" t="s">
        <v>77</v>
      </c>
      <c r="D5" s="4" t="s">
        <v>78</v>
      </c>
      <c r="E5" s="4" t="s">
        <v>79</v>
      </c>
    </row>
    <row r="6" spans="1:6" ht="15" customHeight="1" x14ac:dyDescent="0.25">
      <c r="A6" s="7" t="s">
        <v>80</v>
      </c>
      <c r="B6" s="18" t="s">
        <v>81</v>
      </c>
      <c r="C6" s="7" t="s">
        <v>82</v>
      </c>
      <c r="D6" s="18" t="s">
        <v>83</v>
      </c>
      <c r="E6" s="18" t="s">
        <v>84</v>
      </c>
    </row>
    <row r="7" spans="1:6" ht="15" customHeight="1" x14ac:dyDescent="0.25">
      <c r="A7" s="7" t="s">
        <v>85</v>
      </c>
      <c r="B7" s="18" t="s">
        <v>86</v>
      </c>
      <c r="C7" s="7" t="s">
        <v>87</v>
      </c>
      <c r="D7" s="18" t="s">
        <v>88</v>
      </c>
      <c r="E7" s="18" t="s">
        <v>89</v>
      </c>
    </row>
    <row r="8" spans="1:6" ht="15" customHeight="1" x14ac:dyDescent="0.25">
      <c r="A8" s="7" t="s">
        <v>90</v>
      </c>
      <c r="B8" s="18" t="s">
        <v>91</v>
      </c>
      <c r="C8" s="7" t="s">
        <v>92</v>
      </c>
      <c r="D8" s="18" t="s">
        <v>93</v>
      </c>
      <c r="E8" s="18" t="s">
        <v>94</v>
      </c>
    </row>
    <row r="9" spans="1:6" ht="15" customHeight="1" x14ac:dyDescent="0.25">
      <c r="A9" s="7" t="s">
        <v>95</v>
      </c>
      <c r="B9" s="18" t="s">
        <v>96</v>
      </c>
      <c r="C9" s="7" t="s">
        <v>97</v>
      </c>
      <c r="D9" s="18" t="s">
        <v>98</v>
      </c>
      <c r="E9" s="18" t="s">
        <v>89</v>
      </c>
    </row>
    <row r="10" spans="1:6" ht="15" customHeight="1" x14ac:dyDescent="0.25">
      <c r="A10" s="7" t="s">
        <v>99</v>
      </c>
      <c r="B10" s="18" t="s">
        <v>100</v>
      </c>
      <c r="C10" s="7" t="s">
        <v>101</v>
      </c>
      <c r="D10" s="18" t="s">
        <v>102</v>
      </c>
      <c r="E10" s="18" t="s">
        <v>103</v>
      </c>
    </row>
    <row r="11" spans="1:6" ht="15" customHeight="1" x14ac:dyDescent="0.25">
      <c r="A11" s="7" t="s">
        <v>104</v>
      </c>
      <c r="B11" s="18" t="s">
        <v>105</v>
      </c>
      <c r="C11" s="7" t="s">
        <v>106</v>
      </c>
      <c r="D11" s="18" t="s">
        <v>107</v>
      </c>
      <c r="E11" s="18" t="s">
        <v>84</v>
      </c>
    </row>
    <row r="13" spans="1:6" x14ac:dyDescent="0.25">
      <c r="A13" s="1" t="s">
        <v>108</v>
      </c>
      <c r="B13" s="1"/>
      <c r="C13" s="1"/>
      <c r="D13" s="1"/>
      <c r="E13" s="1"/>
      <c r="F13" s="1"/>
    </row>
    <row r="14" spans="1:6" ht="45" x14ac:dyDescent="0.25">
      <c r="A14" s="4" t="s">
        <v>75</v>
      </c>
      <c r="B14" s="4" t="s">
        <v>109</v>
      </c>
      <c r="C14" s="4" t="s">
        <v>77</v>
      </c>
      <c r="D14" s="4" t="s">
        <v>110</v>
      </c>
      <c r="E14" s="4" t="s">
        <v>111</v>
      </c>
      <c r="F14" s="4" t="s">
        <v>112</v>
      </c>
    </row>
    <row r="15" spans="1:6" ht="15" customHeight="1" x14ac:dyDescent="0.25">
      <c r="A15" s="7" t="str">
        <f t="shared" ref="A15:A20" si="0">A6</f>
        <v>ORD-1001</v>
      </c>
      <c r="B15" s="19">
        <f t="shared" ref="B15:B20" si="1">DATEVALUE(B6)</f>
        <v>45366</v>
      </c>
      <c r="C15" s="7" t="str">
        <f t="shared" ref="C15:C20" si="2">C6</f>
        <v>Wireless Mouse</v>
      </c>
      <c r="D15" s="15">
        <f t="shared" ref="D15:D20" si="3">VALUE(SUBSTITUTE(SUBSTITUTE(D6,"₹",""),",",""))</f>
        <v>799</v>
      </c>
      <c r="E15" s="20">
        <f t="shared" ref="E15:E20" si="4">VALUE(E6)</f>
        <v>2</v>
      </c>
      <c r="F15" s="15">
        <f t="shared" ref="F15:F20" si="5">D15*E15</f>
        <v>1598</v>
      </c>
    </row>
    <row r="16" spans="1:6" ht="15" customHeight="1" x14ac:dyDescent="0.25">
      <c r="A16" s="7" t="str">
        <f t="shared" si="0"/>
        <v>ORD-1002</v>
      </c>
      <c r="B16" s="19">
        <f t="shared" si="1"/>
        <v>45384</v>
      </c>
      <c r="C16" s="7" t="str">
        <f t="shared" si="2"/>
        <v>Office Chair</v>
      </c>
      <c r="D16" s="15">
        <f t="shared" si="3"/>
        <v>6499</v>
      </c>
      <c r="E16" s="20">
        <f t="shared" si="4"/>
        <v>1</v>
      </c>
      <c r="F16" s="15">
        <f t="shared" si="5"/>
        <v>6499</v>
      </c>
    </row>
    <row r="17" spans="1:6" ht="15" customHeight="1" x14ac:dyDescent="0.25">
      <c r="A17" s="7" t="str">
        <f t="shared" si="0"/>
        <v>ORD-1003</v>
      </c>
      <c r="B17" s="19">
        <f t="shared" si="1"/>
        <v>45400</v>
      </c>
      <c r="C17" s="7" t="str">
        <f t="shared" si="2"/>
        <v>Notebook Set</v>
      </c>
      <c r="D17" s="15">
        <f t="shared" si="3"/>
        <v>249</v>
      </c>
      <c r="E17" s="20">
        <f t="shared" si="4"/>
        <v>5</v>
      </c>
      <c r="F17" s="15">
        <f t="shared" si="5"/>
        <v>1245</v>
      </c>
    </row>
    <row r="18" spans="1:6" ht="15" customHeight="1" x14ac:dyDescent="0.25">
      <c r="A18" s="7" t="str">
        <f t="shared" si="0"/>
        <v>ORD-1004</v>
      </c>
      <c r="B18" s="19">
        <f t="shared" si="1"/>
        <v>45442</v>
      </c>
      <c r="C18" s="7" t="str">
        <f t="shared" si="2"/>
        <v>LED Desk Lamp</v>
      </c>
      <c r="D18" s="15">
        <f t="shared" si="3"/>
        <v>1099</v>
      </c>
      <c r="E18" s="20">
        <f t="shared" si="4"/>
        <v>1</v>
      </c>
      <c r="F18" s="15">
        <f t="shared" si="5"/>
        <v>1099</v>
      </c>
    </row>
    <row r="19" spans="1:6" ht="15" customHeight="1" x14ac:dyDescent="0.25">
      <c r="A19" s="7" t="str">
        <f t="shared" si="0"/>
        <v>ORD-1005</v>
      </c>
      <c r="B19" s="19">
        <f t="shared" si="1"/>
        <v>45452</v>
      </c>
      <c r="C19" s="7" t="str">
        <f t="shared" si="2"/>
        <v>Phone Stand</v>
      </c>
      <c r="D19" s="15">
        <f t="shared" si="3"/>
        <v>349</v>
      </c>
      <c r="E19" s="20">
        <f t="shared" si="4"/>
        <v>3</v>
      </c>
      <c r="F19" s="15">
        <f t="shared" si="5"/>
        <v>1047</v>
      </c>
    </row>
    <row r="20" spans="1:6" ht="15" customHeight="1" x14ac:dyDescent="0.25">
      <c r="A20" s="7" t="str">
        <f t="shared" si="0"/>
        <v>ORD-1006</v>
      </c>
      <c r="B20" s="19">
        <f t="shared" si="1"/>
        <v>45494</v>
      </c>
      <c r="C20" s="7" t="str">
        <f t="shared" si="2"/>
        <v>Bluetooth Mouse</v>
      </c>
      <c r="D20" s="15">
        <f t="shared" si="3"/>
        <v>899</v>
      </c>
      <c r="E20" s="20">
        <f t="shared" si="4"/>
        <v>2</v>
      </c>
      <c r="F20" s="15">
        <f t="shared" si="5"/>
        <v>1798</v>
      </c>
    </row>
    <row r="21" spans="1:6" x14ac:dyDescent="0.25">
      <c r="E21" s="10" t="s">
        <v>113</v>
      </c>
      <c r="F21" s="21">
        <f>SUM(F15:F20)</f>
        <v>13286</v>
      </c>
    </row>
    <row r="23" spans="1:6" ht="30" customHeight="1" x14ac:dyDescent="0.25"/>
    <row r="24" spans="1:6" ht="30" customHeight="1" x14ac:dyDescent="0.25"/>
    <row r="25" spans="1:6" ht="30" customHeight="1" x14ac:dyDescent="0.25"/>
    <row r="26" spans="1:6" ht="30" customHeight="1" x14ac:dyDescent="0.25"/>
    <row r="27" spans="1:6" ht="30" customHeight="1" x14ac:dyDescent="0.25"/>
  </sheetData>
  <mergeCells count="3">
    <mergeCell ref="A1:F1"/>
    <mergeCell ref="A4:F4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Task1_Ribbon_QAT</vt:lpstr>
      <vt:lpstr>Songs</vt:lpstr>
      <vt:lpstr>Artists</vt:lpstr>
      <vt:lpstr>GST_Calculator</vt:lpstr>
      <vt:lpstr>Dataset_Cleanup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RAVI</cp:lastModifiedBy>
  <cp:revision>0</cp:revision>
  <dcterms:created xsi:type="dcterms:W3CDTF">2026-09-14T11:08:24Z</dcterms:created>
  <dcterms:modified xsi:type="dcterms:W3CDTF">2026-09-14T12:19:54Z</dcterms:modified>
  <dc:language>en-US</dc:language>
</cp:coreProperties>
</file>